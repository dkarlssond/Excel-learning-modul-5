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karl\OneDrive\Documents\Bli excel mästare\"/>
    </mc:Choice>
  </mc:AlternateContent>
  <xr:revisionPtr revIDLastSave="0" documentId="8_{0AC7AE83-0F44-4D6C-B8EE-2D38AF9CE17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örsäljning" sheetId="3" r:id="rId1"/>
    <sheet name="Analy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9" i="2" l="1" a="1"/>
  <c r="B79" i="2" s="1"/>
  <c r="B47" i="2" a="1"/>
  <c r="B47" i="2" s="1"/>
  <c r="B15" i="2" a="1"/>
  <c r="B15" i="2" s="1"/>
  <c r="F6" i="2" a="1"/>
  <c r="F6" i="2" s="1"/>
  <c r="B6" i="2" a="1"/>
  <c r="B6" i="2" s="1"/>
  <c r="D6" i="2" a="1"/>
  <c r="D6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<sst xmlns="http://schemas.openxmlformats.org/spreadsheetml/2006/main" count="311" uniqueCount="96">
  <si>
    <t>Analys – dynamiska matriser</t>
  </si>
  <si>
    <t>OrderID</t>
  </si>
  <si>
    <t>Datum</t>
  </si>
  <si>
    <t>Region</t>
  </si>
  <si>
    <t>Säljare</t>
  </si>
  <si>
    <t>Produktkategori</t>
  </si>
  <si>
    <t>Intäkt</t>
  </si>
  <si>
    <t>O-70027</t>
  </si>
  <si>
    <t>Nord</t>
  </si>
  <si>
    <t>Erik Holm</t>
  </si>
  <si>
    <t>Elektronik</t>
  </si>
  <si>
    <t>O-70038</t>
  </si>
  <si>
    <t>Syd</t>
  </si>
  <si>
    <t>Maria Falk</t>
  </si>
  <si>
    <t>O-70061</t>
  </si>
  <si>
    <t>Reservdelar</t>
  </si>
  <si>
    <t>O-70067</t>
  </si>
  <si>
    <t>Sara Berg</t>
  </si>
  <si>
    <t>Montage</t>
  </si>
  <si>
    <t>O-70036</t>
  </si>
  <si>
    <t>Väst</t>
  </si>
  <si>
    <t>O-70002</t>
  </si>
  <si>
    <t>O-70046</t>
  </si>
  <si>
    <t>Hydraulik</t>
  </si>
  <si>
    <t>O-70060</t>
  </si>
  <si>
    <t>O-70010</t>
  </si>
  <si>
    <t>Anna Lind</t>
  </si>
  <si>
    <t>O-70012</t>
  </si>
  <si>
    <t>O-70040</t>
  </si>
  <si>
    <t>O-70014</t>
  </si>
  <si>
    <t>O-70019</t>
  </si>
  <si>
    <t>O-70003</t>
  </si>
  <si>
    <t>O-70042</t>
  </si>
  <si>
    <t>Johan Ek</t>
  </si>
  <si>
    <t>O-70063</t>
  </si>
  <si>
    <t>Öst</t>
  </si>
  <si>
    <t>O-70026</t>
  </si>
  <si>
    <t>O-70023</t>
  </si>
  <si>
    <t>O-70001</t>
  </si>
  <si>
    <t>O-70009</t>
  </si>
  <si>
    <t>O-70039</t>
  </si>
  <si>
    <t>O-70059</t>
  </si>
  <si>
    <t>O-70043</t>
  </si>
  <si>
    <t>O-70008</t>
  </si>
  <si>
    <t>O-70062</t>
  </si>
  <si>
    <t>O-70035</t>
  </si>
  <si>
    <t>O-70065</t>
  </si>
  <si>
    <t>O-70048</t>
  </si>
  <si>
    <t>O-70017</t>
  </si>
  <si>
    <t>O-70057</t>
  </si>
  <si>
    <t>O-70013</t>
  </si>
  <si>
    <t>O-70016</t>
  </si>
  <si>
    <t>O-70058</t>
  </si>
  <si>
    <t>O-70047</t>
  </si>
  <si>
    <t>O-70024</t>
  </si>
  <si>
    <t>O-70045</t>
  </si>
  <si>
    <t>O-70041</t>
  </si>
  <si>
    <t>O-70022</t>
  </si>
  <si>
    <t>O-70028</t>
  </si>
  <si>
    <t>O-70056</t>
  </si>
  <si>
    <t>O-70015</t>
  </si>
  <si>
    <t>O-70054</t>
  </si>
  <si>
    <t>O-70050</t>
  </si>
  <si>
    <t>O-70049</t>
  </si>
  <si>
    <t>O-70021</t>
  </si>
  <si>
    <t>O-70031</t>
  </si>
  <si>
    <t>O-70069</t>
  </si>
  <si>
    <t>O-70055</t>
  </si>
  <si>
    <t>O-70011</t>
  </si>
  <si>
    <t>O-70034</t>
  </si>
  <si>
    <t>O-70070</t>
  </si>
  <si>
    <t>O-70051</t>
  </si>
  <si>
    <t>O-70068</t>
  </si>
  <si>
    <t>O-70005</t>
  </si>
  <si>
    <t>O-70037</t>
  </si>
  <si>
    <t>O-70007</t>
  </si>
  <si>
    <t>O-70032</t>
  </si>
  <si>
    <t>O-70029</t>
  </si>
  <si>
    <t>O-70006</t>
  </si>
  <si>
    <t>O-70018</t>
  </si>
  <si>
    <t>O-70025</t>
  </si>
  <si>
    <t>O-70053</t>
  </si>
  <si>
    <t>O-70020</t>
  </si>
  <si>
    <t>O-70044</t>
  </si>
  <si>
    <t>O-70064</t>
  </si>
  <si>
    <t>O-70030</t>
  </si>
  <si>
    <t>O-70033</t>
  </si>
  <si>
    <t>O-70052</t>
  </si>
  <si>
    <t>O-70004</t>
  </si>
  <si>
    <t>O-70066</t>
  </si>
  <si>
    <t>Säljare A–Ö</t>
  </si>
  <si>
    <t>Unika säljare</t>
  </si>
  <si>
    <t>Unika regioner</t>
  </si>
  <si>
    <t>Alla order i region Syd (FILTER)</t>
  </si>
  <si>
    <t>Topp 10 största order i hela landet (TAKE + SORT)</t>
  </si>
  <si>
    <t>Order i Syd sorterade på intäkt, högst först (SORT + FILTER)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</si>
</sst>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color rgb="FF000000"/>
      <name val="Arial"/>
    </font>
    <font>
      <b/>
      <sz val="16"/>
      <color rgb="FF1F3864"/>
      <name val="Arial"/>
    </font>
    <font>
      <i/>
      <sz val="10"/>
      <color rgb="FF595959"/>
      <name val="Arial"/>
    </font>
    <font>
      <b/>
      <sz val="11"/>
      <color rgb="FF1E7B3A"/>
      <name val="Arial"/>
    </font>
    <font>
      <sz val="10"/>
      <color rgb="FF1E7B3A"/>
      <name val="Arial"/>
    </font>
    <font>
      <b/>
      <sz val="11"/>
      <color rgb="FF1F3864"/>
      <name val="Arial"/>
    </font>
    <font>
      <sz val="11"/>
      <name val="Arial"/>
    </font>
    <font>
      <i/>
      <sz val="9"/>
      <color rgb="FF999999"/>
      <name val="Arial"/>
    </font>
    <font>
      <b/>
      <sz val="9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7F5EC"/>
      </patternFill>
    </fill>
    <fill>
      <patternFill patternType="solid">
        <fgColor rgb="FFFFF2CC"/>
      </patternFill>
    </fill>
    <fill>
      <patternFill patternType="solid">
        <fgColor rgb="FF8497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/>
    <xf numFmtId="3" fontId="2" fillId="0" borderId="0" xfId="0" applyNumberFormat="1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7" fillId="0" borderId="0" xfId="0" applyFont="1"/>
    <xf numFmtId="0" fontId="5" fillId="0" borderId="0" xfId="0" applyFont="1"/>
    <xf numFmtId="0" fontId="6" fillId="3" borderId="0" xfId="0" applyFont="1" applyFill="1"/>
    <xf numFmtId="0" fontId="8" fillId="4" borderId="0" xfId="0" applyFont="1" applyFill="1"/>
    <xf numFmtId="0" fontId="9" fillId="0" borderId="0" xfId="0" applyFont="1"/>
    <xf numFmtId="0" fontId="10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" displayName="tblSales" ref="A1:F71">
  <autoFilter ref="A1:F71" xr:uid="{00000000-0009-0000-0100-000001000000}"/>
  <tableColumns count="6">
    <tableColumn id="1" xr3:uid="{00000000-0010-0000-0000-000001000000}" name="OrderID"/>
    <tableColumn id="2" xr3:uid="{00000000-0010-0000-0000-000002000000}" name="Datum"/>
    <tableColumn id="3" xr3:uid="{00000000-0010-0000-0000-000003000000}" name="Region"/>
    <tableColumn id="4" xr3:uid="{00000000-0010-0000-0000-000004000000}" name="Säljare"/>
    <tableColumn id="5" xr3:uid="{00000000-0010-0000-0000-000005000000}" name="Produktkategori"/>
    <tableColumn id="6" xr3:uid="{00000000-0010-0000-0000-000006000000}" name="Intäk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2" customWidth="1"/>
    <col min="3" max="3" width="9" customWidth="1"/>
    <col min="4" max="4" width="14" customWidth="1"/>
    <col min="5" max="5" width="16" customWidth="1"/>
    <col min="6" max="6" width="12" customWidth="1"/>
  </cols>
  <sheetData>
    <row r="1" spans="1:6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25">
      <c r="A2" s="2" t="s">
        <v>7</v>
      </c>
      <c r="B2" s="3">
        <v>46026</v>
      </c>
      <c r="C2" s="2" t="s">
        <v>8</v>
      </c>
      <c r="D2" s="4" t="s">
        <v>9</v>
      </c>
      <c r="E2" s="4" t="s">
        <v>10</v>
      </c>
      <c r="F2" s="5">
        <v>155400</v>
      </c>
    </row>
    <row r="3" spans="1:6" x14ac:dyDescent="0.25">
      <c r="A3" s="2" t="s">
        <v>11</v>
      </c>
      <c r="B3" s="3">
        <v>46026</v>
      </c>
      <c r="C3" s="2" t="s">
        <v>12</v>
      </c>
      <c r="D3" s="4" t="s">
        <v>13</v>
      </c>
      <c r="E3" s="4" t="s">
        <v>10</v>
      </c>
      <c r="F3" s="5">
        <v>394150</v>
      </c>
    </row>
    <row r="4" spans="1:6" x14ac:dyDescent="0.25">
      <c r="A4" s="2" t="s">
        <v>14</v>
      </c>
      <c r="B4" s="3">
        <v>46026</v>
      </c>
      <c r="C4" s="2" t="s">
        <v>12</v>
      </c>
      <c r="D4" s="4" t="s">
        <v>13</v>
      </c>
      <c r="E4" s="4" t="s">
        <v>15</v>
      </c>
      <c r="F4" s="5">
        <v>52550</v>
      </c>
    </row>
    <row r="5" spans="1:6" x14ac:dyDescent="0.25">
      <c r="A5" s="2" t="s">
        <v>16</v>
      </c>
      <c r="B5" s="3">
        <v>46030</v>
      </c>
      <c r="C5" s="2" t="s">
        <v>12</v>
      </c>
      <c r="D5" s="4" t="s">
        <v>17</v>
      </c>
      <c r="E5" s="4" t="s">
        <v>18</v>
      </c>
      <c r="F5" s="5">
        <v>122460</v>
      </c>
    </row>
    <row r="6" spans="1:6" x14ac:dyDescent="0.25">
      <c r="A6" s="2" t="s">
        <v>19</v>
      </c>
      <c r="B6" s="3">
        <v>46033</v>
      </c>
      <c r="C6" s="2" t="s">
        <v>20</v>
      </c>
      <c r="D6" s="4" t="s">
        <v>17</v>
      </c>
      <c r="E6" s="4" t="s">
        <v>18</v>
      </c>
      <c r="F6" s="5">
        <v>27180</v>
      </c>
    </row>
    <row r="7" spans="1:6" x14ac:dyDescent="0.25">
      <c r="A7" s="2" t="s">
        <v>21</v>
      </c>
      <c r="B7" s="3">
        <v>46036</v>
      </c>
      <c r="C7" s="2" t="s">
        <v>8</v>
      </c>
      <c r="D7" s="4" t="s">
        <v>13</v>
      </c>
      <c r="E7" s="4" t="s">
        <v>15</v>
      </c>
      <c r="F7" s="5">
        <v>71800</v>
      </c>
    </row>
    <row r="8" spans="1:6" x14ac:dyDescent="0.25">
      <c r="A8" s="2" t="s">
        <v>22</v>
      </c>
      <c r="B8" s="3">
        <v>46036</v>
      </c>
      <c r="C8" s="2" t="s">
        <v>20</v>
      </c>
      <c r="D8" s="4" t="s">
        <v>9</v>
      </c>
      <c r="E8" s="4" t="s">
        <v>23</v>
      </c>
      <c r="F8" s="5">
        <v>637620</v>
      </c>
    </row>
    <row r="9" spans="1:6" x14ac:dyDescent="0.25">
      <c r="A9" s="2" t="s">
        <v>24</v>
      </c>
      <c r="B9" s="3">
        <v>46038</v>
      </c>
      <c r="C9" s="2" t="s">
        <v>20</v>
      </c>
      <c r="D9" s="4" t="s">
        <v>9</v>
      </c>
      <c r="E9" s="4" t="s">
        <v>10</v>
      </c>
      <c r="F9" s="5">
        <v>429950</v>
      </c>
    </row>
    <row r="10" spans="1:6" x14ac:dyDescent="0.25">
      <c r="A10" s="2" t="s">
        <v>25</v>
      </c>
      <c r="B10" s="3">
        <v>46040</v>
      </c>
      <c r="C10" s="2" t="s">
        <v>20</v>
      </c>
      <c r="D10" s="4" t="s">
        <v>26</v>
      </c>
      <c r="E10" s="4" t="s">
        <v>23</v>
      </c>
      <c r="F10" s="5">
        <v>360340</v>
      </c>
    </row>
    <row r="11" spans="1:6" x14ac:dyDescent="0.25">
      <c r="A11" s="2" t="s">
        <v>27</v>
      </c>
      <c r="B11" s="3">
        <v>46046</v>
      </c>
      <c r="C11" s="2" t="s">
        <v>20</v>
      </c>
      <c r="D11" s="4" t="s">
        <v>9</v>
      </c>
      <c r="E11" s="4" t="s">
        <v>23</v>
      </c>
      <c r="F11" s="5">
        <v>295090</v>
      </c>
    </row>
    <row r="12" spans="1:6" x14ac:dyDescent="0.25">
      <c r="A12" s="2" t="s">
        <v>28</v>
      </c>
      <c r="B12" s="3">
        <v>46046</v>
      </c>
      <c r="C12" s="2" t="s">
        <v>12</v>
      </c>
      <c r="D12" s="4" t="s">
        <v>26</v>
      </c>
      <c r="E12" s="4" t="s">
        <v>10</v>
      </c>
      <c r="F12" s="5">
        <v>102810</v>
      </c>
    </row>
    <row r="13" spans="1:6" x14ac:dyDescent="0.25">
      <c r="A13" s="2" t="s">
        <v>29</v>
      </c>
      <c r="B13" s="3">
        <v>46049</v>
      </c>
      <c r="C13" s="2" t="s">
        <v>20</v>
      </c>
      <c r="D13" s="4" t="s">
        <v>26</v>
      </c>
      <c r="E13" s="4" t="s">
        <v>10</v>
      </c>
      <c r="F13" s="5">
        <v>727080</v>
      </c>
    </row>
    <row r="14" spans="1:6" x14ac:dyDescent="0.25">
      <c r="A14" s="2" t="s">
        <v>30</v>
      </c>
      <c r="B14" s="3">
        <v>46050</v>
      </c>
      <c r="C14" s="2" t="s">
        <v>8</v>
      </c>
      <c r="D14" s="4" t="s">
        <v>26</v>
      </c>
      <c r="E14" s="4" t="s">
        <v>10</v>
      </c>
      <c r="F14" s="5">
        <v>765840</v>
      </c>
    </row>
    <row r="15" spans="1:6" x14ac:dyDescent="0.25">
      <c r="A15" s="2" t="s">
        <v>31</v>
      </c>
      <c r="B15" s="3">
        <v>46057</v>
      </c>
      <c r="C15" s="2" t="s">
        <v>12</v>
      </c>
      <c r="D15" s="4" t="s">
        <v>17</v>
      </c>
      <c r="E15" s="4" t="s">
        <v>10</v>
      </c>
      <c r="F15" s="5">
        <v>1519590</v>
      </c>
    </row>
    <row r="16" spans="1:6" x14ac:dyDescent="0.25">
      <c r="A16" s="2" t="s">
        <v>32</v>
      </c>
      <c r="B16" s="3">
        <v>46057</v>
      </c>
      <c r="C16" s="2" t="s">
        <v>12</v>
      </c>
      <c r="D16" s="4" t="s">
        <v>33</v>
      </c>
      <c r="E16" s="4" t="s">
        <v>18</v>
      </c>
      <c r="F16" s="5">
        <v>155540</v>
      </c>
    </row>
    <row r="17" spans="1:6" x14ac:dyDescent="0.25">
      <c r="A17" s="2" t="s">
        <v>34</v>
      </c>
      <c r="B17" s="3">
        <v>46057</v>
      </c>
      <c r="C17" s="2" t="s">
        <v>35</v>
      </c>
      <c r="D17" s="4" t="s">
        <v>26</v>
      </c>
      <c r="E17" s="4" t="s">
        <v>23</v>
      </c>
      <c r="F17" s="5">
        <v>1403170</v>
      </c>
    </row>
    <row r="18" spans="1:6" x14ac:dyDescent="0.25">
      <c r="A18" s="2" t="s">
        <v>36</v>
      </c>
      <c r="B18" s="3">
        <v>46060</v>
      </c>
      <c r="C18" s="2" t="s">
        <v>12</v>
      </c>
      <c r="D18" s="4" t="s">
        <v>33</v>
      </c>
      <c r="E18" s="4" t="s">
        <v>23</v>
      </c>
      <c r="F18" s="5">
        <v>479350</v>
      </c>
    </row>
    <row r="19" spans="1:6" x14ac:dyDescent="0.25">
      <c r="A19" s="2" t="s">
        <v>37</v>
      </c>
      <c r="B19" s="3">
        <v>46061</v>
      </c>
      <c r="C19" s="2" t="s">
        <v>12</v>
      </c>
      <c r="D19" s="4" t="s">
        <v>33</v>
      </c>
      <c r="E19" s="4" t="s">
        <v>10</v>
      </c>
      <c r="F19" s="5">
        <v>419810</v>
      </c>
    </row>
    <row r="20" spans="1:6" x14ac:dyDescent="0.25">
      <c r="A20" s="2" t="s">
        <v>38</v>
      </c>
      <c r="B20" s="3">
        <v>46062</v>
      </c>
      <c r="C20" s="2" t="s">
        <v>35</v>
      </c>
      <c r="D20" s="4" t="s">
        <v>17</v>
      </c>
      <c r="E20" s="4" t="s">
        <v>18</v>
      </c>
      <c r="F20" s="5">
        <v>170950</v>
      </c>
    </row>
    <row r="21" spans="1:6" x14ac:dyDescent="0.25">
      <c r="A21" s="2" t="s">
        <v>39</v>
      </c>
      <c r="B21" s="3">
        <v>46064</v>
      </c>
      <c r="C21" s="2" t="s">
        <v>12</v>
      </c>
      <c r="D21" s="4" t="s">
        <v>26</v>
      </c>
      <c r="E21" s="4" t="s">
        <v>18</v>
      </c>
      <c r="F21" s="5">
        <v>65640</v>
      </c>
    </row>
    <row r="22" spans="1:6" x14ac:dyDescent="0.25">
      <c r="A22" s="2" t="s">
        <v>40</v>
      </c>
      <c r="B22" s="3">
        <v>46068</v>
      </c>
      <c r="C22" s="2" t="s">
        <v>8</v>
      </c>
      <c r="D22" s="4" t="s">
        <v>17</v>
      </c>
      <c r="E22" s="4" t="s">
        <v>15</v>
      </c>
      <c r="F22" s="5">
        <v>14870</v>
      </c>
    </row>
    <row r="23" spans="1:6" x14ac:dyDescent="0.25">
      <c r="A23" s="2" t="s">
        <v>41</v>
      </c>
      <c r="B23" s="3">
        <v>46069</v>
      </c>
      <c r="C23" s="2" t="s">
        <v>35</v>
      </c>
      <c r="D23" s="4" t="s">
        <v>17</v>
      </c>
      <c r="E23" s="4" t="s">
        <v>10</v>
      </c>
      <c r="F23" s="5">
        <v>1111320</v>
      </c>
    </row>
    <row r="24" spans="1:6" x14ac:dyDescent="0.25">
      <c r="A24" s="2" t="s">
        <v>42</v>
      </c>
      <c r="B24" s="3">
        <v>46070</v>
      </c>
      <c r="C24" s="2" t="s">
        <v>12</v>
      </c>
      <c r="D24" s="4" t="s">
        <v>17</v>
      </c>
      <c r="E24" s="4" t="s">
        <v>23</v>
      </c>
      <c r="F24" s="5">
        <v>893030</v>
      </c>
    </row>
    <row r="25" spans="1:6" x14ac:dyDescent="0.25">
      <c r="A25" s="2" t="s">
        <v>43</v>
      </c>
      <c r="B25" s="3">
        <v>46071</v>
      </c>
      <c r="C25" s="2" t="s">
        <v>20</v>
      </c>
      <c r="D25" s="4" t="s">
        <v>33</v>
      </c>
      <c r="E25" s="4" t="s">
        <v>23</v>
      </c>
      <c r="F25" s="5">
        <v>119240</v>
      </c>
    </row>
    <row r="26" spans="1:6" x14ac:dyDescent="0.25">
      <c r="A26" s="2" t="s">
        <v>44</v>
      </c>
      <c r="B26" s="3">
        <v>46074</v>
      </c>
      <c r="C26" s="2" t="s">
        <v>20</v>
      </c>
      <c r="D26" s="4" t="s">
        <v>9</v>
      </c>
      <c r="E26" s="4" t="s">
        <v>23</v>
      </c>
      <c r="F26" s="5">
        <v>104580</v>
      </c>
    </row>
    <row r="27" spans="1:6" x14ac:dyDescent="0.25">
      <c r="A27" s="2" t="s">
        <v>45</v>
      </c>
      <c r="B27" s="3">
        <v>46075</v>
      </c>
      <c r="C27" s="2" t="s">
        <v>35</v>
      </c>
      <c r="D27" s="4" t="s">
        <v>9</v>
      </c>
      <c r="E27" s="4" t="s">
        <v>10</v>
      </c>
      <c r="F27" s="5">
        <v>99770</v>
      </c>
    </row>
    <row r="28" spans="1:6" x14ac:dyDescent="0.25">
      <c r="A28" s="2" t="s">
        <v>46</v>
      </c>
      <c r="B28" s="3">
        <v>46076</v>
      </c>
      <c r="C28" s="2" t="s">
        <v>20</v>
      </c>
      <c r="D28" s="4" t="s">
        <v>9</v>
      </c>
      <c r="E28" s="4" t="s">
        <v>15</v>
      </c>
      <c r="F28" s="5">
        <v>34840</v>
      </c>
    </row>
    <row r="29" spans="1:6" x14ac:dyDescent="0.25">
      <c r="A29" s="2" t="s">
        <v>47</v>
      </c>
      <c r="B29" s="3">
        <v>46077</v>
      </c>
      <c r="C29" s="2" t="s">
        <v>12</v>
      </c>
      <c r="D29" s="4" t="s">
        <v>26</v>
      </c>
      <c r="E29" s="4" t="s">
        <v>10</v>
      </c>
      <c r="F29" s="5">
        <v>598690</v>
      </c>
    </row>
    <row r="30" spans="1:6" x14ac:dyDescent="0.25">
      <c r="A30" s="2" t="s">
        <v>48</v>
      </c>
      <c r="B30" s="3">
        <v>46080</v>
      </c>
      <c r="C30" s="2" t="s">
        <v>12</v>
      </c>
      <c r="D30" s="4" t="s">
        <v>13</v>
      </c>
      <c r="E30" s="4" t="s">
        <v>10</v>
      </c>
      <c r="F30" s="5">
        <v>106710</v>
      </c>
    </row>
    <row r="31" spans="1:6" x14ac:dyDescent="0.25">
      <c r="A31" s="2" t="s">
        <v>49</v>
      </c>
      <c r="B31" s="3">
        <v>46082</v>
      </c>
      <c r="C31" s="2" t="s">
        <v>8</v>
      </c>
      <c r="D31" s="4" t="s">
        <v>26</v>
      </c>
      <c r="E31" s="4" t="s">
        <v>10</v>
      </c>
      <c r="F31" s="5">
        <v>1446380</v>
      </c>
    </row>
    <row r="32" spans="1:6" x14ac:dyDescent="0.25">
      <c r="A32" s="2" t="s">
        <v>50</v>
      </c>
      <c r="B32" s="3">
        <v>46086</v>
      </c>
      <c r="C32" s="2" t="s">
        <v>20</v>
      </c>
      <c r="D32" s="4" t="s">
        <v>9</v>
      </c>
      <c r="E32" s="4" t="s">
        <v>23</v>
      </c>
      <c r="F32" s="5">
        <v>512370</v>
      </c>
    </row>
    <row r="33" spans="1:6" x14ac:dyDescent="0.25">
      <c r="A33" s="2" t="s">
        <v>51</v>
      </c>
      <c r="B33" s="3">
        <v>46086</v>
      </c>
      <c r="C33" s="2" t="s">
        <v>12</v>
      </c>
      <c r="D33" s="4" t="s">
        <v>26</v>
      </c>
      <c r="E33" s="4" t="s">
        <v>18</v>
      </c>
      <c r="F33" s="5">
        <v>16500</v>
      </c>
    </row>
    <row r="34" spans="1:6" x14ac:dyDescent="0.25">
      <c r="A34" s="2" t="s">
        <v>52</v>
      </c>
      <c r="B34" s="3">
        <v>46086</v>
      </c>
      <c r="C34" s="2" t="s">
        <v>35</v>
      </c>
      <c r="D34" s="4" t="s">
        <v>9</v>
      </c>
      <c r="E34" s="4" t="s">
        <v>10</v>
      </c>
      <c r="F34" s="5">
        <v>496230</v>
      </c>
    </row>
    <row r="35" spans="1:6" x14ac:dyDescent="0.25">
      <c r="A35" s="2" t="s">
        <v>53</v>
      </c>
      <c r="B35" s="3">
        <v>46088</v>
      </c>
      <c r="C35" s="2" t="s">
        <v>12</v>
      </c>
      <c r="D35" s="4" t="s">
        <v>33</v>
      </c>
      <c r="E35" s="4" t="s">
        <v>18</v>
      </c>
      <c r="F35" s="5">
        <v>3370</v>
      </c>
    </row>
    <row r="36" spans="1:6" x14ac:dyDescent="0.25">
      <c r="A36" s="2" t="s">
        <v>54</v>
      </c>
      <c r="B36" s="3">
        <v>46089</v>
      </c>
      <c r="C36" s="2" t="s">
        <v>12</v>
      </c>
      <c r="D36" s="4" t="s">
        <v>33</v>
      </c>
      <c r="E36" s="4" t="s">
        <v>10</v>
      </c>
      <c r="F36" s="5">
        <v>204990</v>
      </c>
    </row>
    <row r="37" spans="1:6" x14ac:dyDescent="0.25">
      <c r="A37" s="2" t="s">
        <v>55</v>
      </c>
      <c r="B37" s="3">
        <v>46090</v>
      </c>
      <c r="C37" s="2" t="s">
        <v>20</v>
      </c>
      <c r="D37" s="4" t="s">
        <v>26</v>
      </c>
      <c r="E37" s="4" t="s">
        <v>15</v>
      </c>
      <c r="F37" s="5">
        <v>1810</v>
      </c>
    </row>
    <row r="38" spans="1:6" x14ac:dyDescent="0.25">
      <c r="A38" s="2" t="s">
        <v>56</v>
      </c>
      <c r="B38" s="3">
        <v>46092</v>
      </c>
      <c r="C38" s="2" t="s">
        <v>20</v>
      </c>
      <c r="D38" s="4" t="s">
        <v>13</v>
      </c>
      <c r="E38" s="4" t="s">
        <v>18</v>
      </c>
      <c r="F38" s="5">
        <v>62670</v>
      </c>
    </row>
    <row r="39" spans="1:6" x14ac:dyDescent="0.25">
      <c r="A39" s="2" t="s">
        <v>57</v>
      </c>
      <c r="B39" s="3">
        <v>46093</v>
      </c>
      <c r="C39" s="2" t="s">
        <v>12</v>
      </c>
      <c r="D39" s="4" t="s">
        <v>17</v>
      </c>
      <c r="E39" s="4" t="s">
        <v>23</v>
      </c>
      <c r="F39" s="5">
        <v>496050</v>
      </c>
    </row>
    <row r="40" spans="1:6" x14ac:dyDescent="0.25">
      <c r="A40" s="2" t="s">
        <v>58</v>
      </c>
      <c r="B40" s="3">
        <v>46093</v>
      </c>
      <c r="C40" s="2" t="s">
        <v>8</v>
      </c>
      <c r="D40" s="4" t="s">
        <v>26</v>
      </c>
      <c r="E40" s="4" t="s">
        <v>23</v>
      </c>
      <c r="F40" s="5">
        <v>473210</v>
      </c>
    </row>
    <row r="41" spans="1:6" x14ac:dyDescent="0.25">
      <c r="A41" s="2" t="s">
        <v>59</v>
      </c>
      <c r="B41" s="3">
        <v>46093</v>
      </c>
      <c r="C41" s="2" t="s">
        <v>20</v>
      </c>
      <c r="D41" s="4" t="s">
        <v>13</v>
      </c>
      <c r="E41" s="4" t="s">
        <v>15</v>
      </c>
      <c r="F41" s="5">
        <v>21500</v>
      </c>
    </row>
    <row r="42" spans="1:6" x14ac:dyDescent="0.25">
      <c r="A42" s="2" t="s">
        <v>60</v>
      </c>
      <c r="B42" s="3">
        <v>46094</v>
      </c>
      <c r="C42" s="2" t="s">
        <v>20</v>
      </c>
      <c r="D42" s="4" t="s">
        <v>26</v>
      </c>
      <c r="E42" s="4" t="s">
        <v>23</v>
      </c>
      <c r="F42" s="5">
        <v>939450</v>
      </c>
    </row>
    <row r="43" spans="1:6" x14ac:dyDescent="0.25">
      <c r="A43" s="2" t="s">
        <v>61</v>
      </c>
      <c r="B43" s="3">
        <v>46095</v>
      </c>
      <c r="C43" s="2" t="s">
        <v>12</v>
      </c>
      <c r="D43" s="4" t="s">
        <v>26</v>
      </c>
      <c r="E43" s="4" t="s">
        <v>23</v>
      </c>
      <c r="F43" s="5">
        <v>921920</v>
      </c>
    </row>
    <row r="44" spans="1:6" x14ac:dyDescent="0.25">
      <c r="A44" s="2" t="s">
        <v>62</v>
      </c>
      <c r="B44" s="3">
        <v>46101</v>
      </c>
      <c r="C44" s="2" t="s">
        <v>12</v>
      </c>
      <c r="D44" s="4" t="s">
        <v>9</v>
      </c>
      <c r="E44" s="4" t="s">
        <v>10</v>
      </c>
      <c r="F44" s="5">
        <v>310750</v>
      </c>
    </row>
    <row r="45" spans="1:6" x14ac:dyDescent="0.25">
      <c r="A45" s="2" t="s">
        <v>63</v>
      </c>
      <c r="B45" s="3">
        <v>46116</v>
      </c>
      <c r="C45" s="2" t="s">
        <v>8</v>
      </c>
      <c r="D45" s="4" t="s">
        <v>26</v>
      </c>
      <c r="E45" s="4" t="s">
        <v>23</v>
      </c>
      <c r="F45" s="5">
        <v>796740</v>
      </c>
    </row>
    <row r="46" spans="1:6" x14ac:dyDescent="0.25">
      <c r="A46" s="2" t="s">
        <v>64</v>
      </c>
      <c r="B46" s="3">
        <v>46121</v>
      </c>
      <c r="C46" s="2" t="s">
        <v>12</v>
      </c>
      <c r="D46" s="4" t="s">
        <v>17</v>
      </c>
      <c r="E46" s="4" t="s">
        <v>23</v>
      </c>
      <c r="F46" s="5">
        <v>1254460</v>
      </c>
    </row>
    <row r="47" spans="1:6" x14ac:dyDescent="0.25">
      <c r="A47" s="2" t="s">
        <v>65</v>
      </c>
      <c r="B47" s="3">
        <v>46128</v>
      </c>
      <c r="C47" s="2" t="s">
        <v>8</v>
      </c>
      <c r="D47" s="4" t="s">
        <v>13</v>
      </c>
      <c r="E47" s="4" t="s">
        <v>23</v>
      </c>
      <c r="F47" s="5">
        <v>1033210</v>
      </c>
    </row>
    <row r="48" spans="1:6" x14ac:dyDescent="0.25">
      <c r="A48" s="2" t="s">
        <v>66</v>
      </c>
      <c r="B48" s="3">
        <v>46128</v>
      </c>
      <c r="C48" s="2" t="s">
        <v>35</v>
      </c>
      <c r="D48" s="4" t="s">
        <v>33</v>
      </c>
      <c r="E48" s="4" t="s">
        <v>15</v>
      </c>
      <c r="F48" s="5">
        <v>13080</v>
      </c>
    </row>
    <row r="49" spans="1:6" x14ac:dyDescent="0.25">
      <c r="A49" s="2" t="s">
        <v>67</v>
      </c>
      <c r="B49" s="3">
        <v>46129</v>
      </c>
      <c r="C49" s="2" t="s">
        <v>8</v>
      </c>
      <c r="D49" s="4" t="s">
        <v>33</v>
      </c>
      <c r="E49" s="4" t="s">
        <v>10</v>
      </c>
      <c r="F49" s="5">
        <v>92660</v>
      </c>
    </row>
    <row r="50" spans="1:6" x14ac:dyDescent="0.25">
      <c r="A50" s="2" t="s">
        <v>68</v>
      </c>
      <c r="B50" s="3">
        <v>46130</v>
      </c>
      <c r="C50" s="2" t="s">
        <v>12</v>
      </c>
      <c r="D50" s="4" t="s">
        <v>33</v>
      </c>
      <c r="E50" s="4" t="s">
        <v>23</v>
      </c>
      <c r="F50" s="5">
        <v>884510</v>
      </c>
    </row>
    <row r="51" spans="1:6" x14ac:dyDescent="0.25">
      <c r="A51" s="2" t="s">
        <v>69</v>
      </c>
      <c r="B51" s="3">
        <v>46132</v>
      </c>
      <c r="C51" s="2" t="s">
        <v>12</v>
      </c>
      <c r="D51" s="4" t="s">
        <v>26</v>
      </c>
      <c r="E51" s="4" t="s">
        <v>18</v>
      </c>
      <c r="F51" s="5">
        <v>26530</v>
      </c>
    </row>
    <row r="52" spans="1:6" x14ac:dyDescent="0.25">
      <c r="A52" s="2" t="s">
        <v>70</v>
      </c>
      <c r="B52" s="3">
        <v>46132</v>
      </c>
      <c r="C52" s="2" t="s">
        <v>12</v>
      </c>
      <c r="D52" s="4" t="s">
        <v>9</v>
      </c>
      <c r="E52" s="4" t="s">
        <v>15</v>
      </c>
      <c r="F52" s="5">
        <v>68530</v>
      </c>
    </row>
    <row r="53" spans="1:6" x14ac:dyDescent="0.25">
      <c r="A53" s="2" t="s">
        <v>71</v>
      </c>
      <c r="B53" s="3">
        <v>46133</v>
      </c>
      <c r="C53" s="2" t="s">
        <v>8</v>
      </c>
      <c r="D53" s="4" t="s">
        <v>26</v>
      </c>
      <c r="E53" s="4" t="s">
        <v>10</v>
      </c>
      <c r="F53" s="5">
        <v>187140</v>
      </c>
    </row>
    <row r="54" spans="1:6" x14ac:dyDescent="0.25">
      <c r="A54" s="2" t="s">
        <v>72</v>
      </c>
      <c r="B54" s="3">
        <v>46133</v>
      </c>
      <c r="C54" s="2" t="s">
        <v>8</v>
      </c>
      <c r="D54" s="4" t="s">
        <v>13</v>
      </c>
      <c r="E54" s="4" t="s">
        <v>23</v>
      </c>
      <c r="F54" s="5">
        <v>41420</v>
      </c>
    </row>
    <row r="55" spans="1:6" x14ac:dyDescent="0.25">
      <c r="A55" s="2" t="s">
        <v>73</v>
      </c>
      <c r="B55" s="3">
        <v>46136</v>
      </c>
      <c r="C55" s="2" t="s">
        <v>8</v>
      </c>
      <c r="D55" s="4" t="s">
        <v>13</v>
      </c>
      <c r="E55" s="4" t="s">
        <v>15</v>
      </c>
      <c r="F55" s="5">
        <v>8340</v>
      </c>
    </row>
    <row r="56" spans="1:6" x14ac:dyDescent="0.25">
      <c r="A56" s="2" t="s">
        <v>74</v>
      </c>
      <c r="B56" s="3">
        <v>46149</v>
      </c>
      <c r="C56" s="2" t="s">
        <v>8</v>
      </c>
      <c r="D56" s="4" t="s">
        <v>13</v>
      </c>
      <c r="E56" s="4" t="s">
        <v>10</v>
      </c>
      <c r="F56" s="5">
        <v>241420</v>
      </c>
    </row>
    <row r="57" spans="1:6" x14ac:dyDescent="0.25">
      <c r="A57" s="2" t="s">
        <v>75</v>
      </c>
      <c r="B57" s="3">
        <v>46159</v>
      </c>
      <c r="C57" s="2" t="s">
        <v>20</v>
      </c>
      <c r="D57" s="4" t="s">
        <v>13</v>
      </c>
      <c r="E57" s="4" t="s">
        <v>15</v>
      </c>
      <c r="F57" s="5">
        <v>31570</v>
      </c>
    </row>
    <row r="58" spans="1:6" x14ac:dyDescent="0.25">
      <c r="A58" s="2" t="s">
        <v>76</v>
      </c>
      <c r="B58" s="3">
        <v>46161</v>
      </c>
      <c r="C58" s="2" t="s">
        <v>35</v>
      </c>
      <c r="D58" s="4" t="s">
        <v>17</v>
      </c>
      <c r="E58" s="4" t="s">
        <v>10</v>
      </c>
      <c r="F58" s="5">
        <v>712830</v>
      </c>
    </row>
    <row r="59" spans="1:6" x14ac:dyDescent="0.25">
      <c r="A59" s="2" t="s">
        <v>77</v>
      </c>
      <c r="B59" s="3">
        <v>46163</v>
      </c>
      <c r="C59" s="2" t="s">
        <v>12</v>
      </c>
      <c r="D59" s="4" t="s">
        <v>13</v>
      </c>
      <c r="E59" s="4" t="s">
        <v>18</v>
      </c>
      <c r="F59" s="5">
        <v>44270</v>
      </c>
    </row>
    <row r="60" spans="1:6" x14ac:dyDescent="0.25">
      <c r="A60" s="2" t="s">
        <v>78</v>
      </c>
      <c r="B60" s="3">
        <v>46164</v>
      </c>
      <c r="C60" s="2" t="s">
        <v>12</v>
      </c>
      <c r="D60" s="4" t="s">
        <v>26</v>
      </c>
      <c r="E60" s="4" t="s">
        <v>18</v>
      </c>
      <c r="F60" s="5">
        <v>33710</v>
      </c>
    </row>
    <row r="61" spans="1:6" x14ac:dyDescent="0.25">
      <c r="A61" s="2" t="s">
        <v>79</v>
      </c>
      <c r="B61" s="3">
        <v>46165</v>
      </c>
      <c r="C61" s="2" t="s">
        <v>12</v>
      </c>
      <c r="D61" s="4" t="s">
        <v>13</v>
      </c>
      <c r="E61" s="4" t="s">
        <v>23</v>
      </c>
      <c r="F61" s="5">
        <v>559560</v>
      </c>
    </row>
    <row r="62" spans="1:6" x14ac:dyDescent="0.25">
      <c r="A62" s="2" t="s">
        <v>80</v>
      </c>
      <c r="B62" s="3">
        <v>46168</v>
      </c>
      <c r="C62" s="2" t="s">
        <v>20</v>
      </c>
      <c r="D62" s="4" t="s">
        <v>26</v>
      </c>
      <c r="E62" s="4" t="s">
        <v>23</v>
      </c>
      <c r="F62" s="5">
        <v>1341480</v>
      </c>
    </row>
    <row r="63" spans="1:6" x14ac:dyDescent="0.25">
      <c r="A63" s="2" t="s">
        <v>81</v>
      </c>
      <c r="B63" s="3">
        <v>46168</v>
      </c>
      <c r="C63" s="2" t="s">
        <v>35</v>
      </c>
      <c r="D63" s="4" t="s">
        <v>26</v>
      </c>
      <c r="E63" s="4" t="s">
        <v>15</v>
      </c>
      <c r="F63" s="5">
        <v>95580</v>
      </c>
    </row>
    <row r="64" spans="1:6" x14ac:dyDescent="0.25">
      <c r="A64" s="2" t="s">
        <v>82</v>
      </c>
      <c r="B64" s="3">
        <v>46169</v>
      </c>
      <c r="C64" s="2" t="s">
        <v>8</v>
      </c>
      <c r="D64" s="4" t="s">
        <v>13</v>
      </c>
      <c r="E64" s="4" t="s">
        <v>18</v>
      </c>
      <c r="F64" s="5">
        <v>11670</v>
      </c>
    </row>
    <row r="65" spans="1:6" x14ac:dyDescent="0.25">
      <c r="A65" s="2" t="s">
        <v>83</v>
      </c>
      <c r="B65" s="3">
        <v>46170</v>
      </c>
      <c r="C65" s="2" t="s">
        <v>35</v>
      </c>
      <c r="D65" s="4" t="s">
        <v>13</v>
      </c>
      <c r="E65" s="4" t="s">
        <v>10</v>
      </c>
      <c r="F65" s="5">
        <v>82710</v>
      </c>
    </row>
    <row r="66" spans="1:6" x14ac:dyDescent="0.25">
      <c r="A66" s="2" t="s">
        <v>84</v>
      </c>
      <c r="B66" s="3">
        <v>46183</v>
      </c>
      <c r="C66" s="2" t="s">
        <v>35</v>
      </c>
      <c r="D66" s="4" t="s">
        <v>9</v>
      </c>
      <c r="E66" s="4" t="s">
        <v>23</v>
      </c>
      <c r="F66" s="5">
        <v>69890</v>
      </c>
    </row>
    <row r="67" spans="1:6" x14ac:dyDescent="0.25">
      <c r="A67" s="2" t="s">
        <v>85</v>
      </c>
      <c r="B67" s="3">
        <v>46188</v>
      </c>
      <c r="C67" s="2" t="s">
        <v>20</v>
      </c>
      <c r="D67" s="4" t="s">
        <v>9</v>
      </c>
      <c r="E67" s="4" t="s">
        <v>10</v>
      </c>
      <c r="F67" s="5">
        <v>300040</v>
      </c>
    </row>
    <row r="68" spans="1:6" x14ac:dyDescent="0.25">
      <c r="A68" s="2" t="s">
        <v>86</v>
      </c>
      <c r="B68" s="3">
        <v>46189</v>
      </c>
      <c r="C68" s="2" t="s">
        <v>8</v>
      </c>
      <c r="D68" s="4" t="s">
        <v>13</v>
      </c>
      <c r="E68" s="4" t="s">
        <v>18</v>
      </c>
      <c r="F68" s="5">
        <v>202270</v>
      </c>
    </row>
    <row r="69" spans="1:6" x14ac:dyDescent="0.25">
      <c r="A69" s="2" t="s">
        <v>87</v>
      </c>
      <c r="B69" s="3">
        <v>46196</v>
      </c>
      <c r="C69" s="2" t="s">
        <v>20</v>
      </c>
      <c r="D69" s="4" t="s">
        <v>26</v>
      </c>
      <c r="E69" s="4" t="s">
        <v>15</v>
      </c>
      <c r="F69" s="5">
        <v>24720</v>
      </c>
    </row>
    <row r="70" spans="1:6" x14ac:dyDescent="0.25">
      <c r="A70" s="2" t="s">
        <v>88</v>
      </c>
      <c r="B70" s="3">
        <v>46197</v>
      </c>
      <c r="C70" s="2" t="s">
        <v>12</v>
      </c>
      <c r="D70" s="4" t="s">
        <v>17</v>
      </c>
      <c r="E70" s="4" t="s">
        <v>18</v>
      </c>
      <c r="F70" s="5">
        <v>15610</v>
      </c>
    </row>
    <row r="71" spans="1:6" x14ac:dyDescent="0.25">
      <c r="A71" s="2" t="s">
        <v>89</v>
      </c>
      <c r="B71" s="3">
        <v>46198</v>
      </c>
      <c r="C71" s="2" t="s">
        <v>12</v>
      </c>
      <c r="D71" s="4" t="s">
        <v>33</v>
      </c>
      <c r="E71" s="4" t="s">
        <v>18</v>
      </c>
      <c r="F71" s="5">
        <v>14060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88"/>
  <sheetViews>
    <sheetView showGridLines="0" tabSelected="1" topLeftCell="B1" workbookViewId="0">
      <selection activeCell="B46" sqref="B46"/>
    </sheetView>
  </sheetViews>
  <sheetFormatPr defaultRowHeight="15" x14ac:dyDescent="0.25"/>
  <cols>
    <col min="1" max="1" width="2" customWidth="1"/>
    <col min="2" max="2" width="13" customWidth="1"/>
    <col min="3" max="3" width="12" customWidth="1"/>
    <col min="4" max="6" width="16" customWidth="1"/>
    <col min="7" max="7" width="12" customWidth="1"/>
  </cols>
  <sheetData>
    <row r="2" spans="2:7" ht="20.25" x14ac:dyDescent="0.3">
      <c r="B2" s="6" t="s">
        <v>0</v>
      </c>
    </row>
    <row r="3" spans="2:7" x14ac:dyDescent="0.25">
      <c r="B3" s="7"/>
    </row>
    <row r="5" spans="2:7" x14ac:dyDescent="0.25">
      <c r="B5" s="9" t="s">
        <v>92</v>
      </c>
      <c r="D5" s="8" t="s">
        <v>91</v>
      </c>
      <c r="F5" s="8" t="s">
        <v>90</v>
      </c>
    </row>
    <row r="6" spans="2:7" x14ac:dyDescent="0.25">
      <c r="B6" s="10" t="str" cm="1">
        <f t="array" ref="B6:B9">_xlfn.UNIQUE(tblSales[Region])</f>
        <v>Nord</v>
      </c>
      <c r="D6" s="11" t="str" cm="1">
        <f t="array" ref="D6:D10">_xlfn.UNIQUE(tblSales[Säljare])</f>
        <v>Erik Holm</v>
      </c>
      <c r="F6" s="11" t="str" cm="1">
        <f t="array" ref="F6:F10">_xlfn._xlws.SORT(_xlfn.UNIQUE(tblSales[Säljare]))</f>
        <v>Anna Lind</v>
      </c>
    </row>
    <row r="7" spans="2:7" x14ac:dyDescent="0.25">
      <c r="B7" t="str">
        <v>Syd</v>
      </c>
      <c r="D7" t="str">
        <v>Maria Falk</v>
      </c>
      <c r="F7" t="str">
        <v>Erik Holm</v>
      </c>
    </row>
    <row r="8" spans="2:7" x14ac:dyDescent="0.25">
      <c r="B8" t="str">
        <v>Väst</v>
      </c>
      <c r="D8" t="str">
        <v>Sara Berg</v>
      </c>
      <c r="F8" t="str">
        <v>Johan Ek</v>
      </c>
    </row>
    <row r="9" spans="2:7" x14ac:dyDescent="0.25">
      <c r="B9" t="str">
        <v>Öst</v>
      </c>
      <c r="D9" t="str">
        <v>Anna Lind</v>
      </c>
      <c r="F9" t="str">
        <v>Maria Falk</v>
      </c>
    </row>
    <row r="10" spans="2:7" x14ac:dyDescent="0.25">
      <c r="D10" t="str">
        <v>Johan Ek</v>
      </c>
      <c r="F10" t="str">
        <v>Sara Berg</v>
      </c>
    </row>
    <row r="12" spans="2:7" x14ac:dyDescent="0.25">
      <c r="F12" s="12"/>
    </row>
    <row r="13" spans="2:7" x14ac:dyDescent="0.25">
      <c r="B13" s="8" t="s">
        <v>93</v>
      </c>
    </row>
    <row r="14" spans="2:7" x14ac:dyDescent="0.25">
      <c r="B14" s="13" t="s">
        <v>1</v>
      </c>
      <c r="C14" s="13" t="s">
        <v>2</v>
      </c>
      <c r="D14" s="13" t="s">
        <v>3</v>
      </c>
      <c r="E14" s="13" t="s">
        <v>4</v>
      </c>
      <c r="F14" s="13" t="s">
        <v>5</v>
      </c>
      <c r="G14" s="13" t="s">
        <v>6</v>
      </c>
    </row>
    <row r="15" spans="2:7" x14ac:dyDescent="0.25">
      <c r="B15" s="11" t="str" cm="1">
        <f t="array" ref="B15:G41">_xlfn._xlws.FILTER(tblSales[], tblSales[Region] = "Syd")</f>
        <v>O-70038</v>
      </c>
      <c r="C15">
        <v>46026</v>
      </c>
      <c r="D15" t="str">
        <v>Syd</v>
      </c>
      <c r="E15" t="str">
        <v>Maria Falk</v>
      </c>
      <c r="F15" t="str">
        <v>Elektronik</v>
      </c>
      <c r="G15">
        <v>394150</v>
      </c>
    </row>
    <row r="16" spans="2:7" x14ac:dyDescent="0.25">
      <c r="B16" s="12" t="str">
        <v>O-70061</v>
      </c>
      <c r="C16">
        <v>46026</v>
      </c>
      <c r="D16" t="str">
        <v>Syd</v>
      </c>
      <c r="E16" t="str">
        <v>Maria Falk</v>
      </c>
      <c r="F16" t="str">
        <v>Reservdelar</v>
      </c>
      <c r="G16">
        <v>52550</v>
      </c>
    </row>
    <row r="17" spans="2:7" x14ac:dyDescent="0.25">
      <c r="B17" t="str">
        <v>O-70067</v>
      </c>
      <c r="C17">
        <v>46030</v>
      </c>
      <c r="D17" t="str">
        <v>Syd</v>
      </c>
      <c r="E17" t="str">
        <v>Sara Berg</v>
      </c>
      <c r="F17" t="str">
        <v>Montage</v>
      </c>
      <c r="G17">
        <v>122460</v>
      </c>
    </row>
    <row r="18" spans="2:7" x14ac:dyDescent="0.25">
      <c r="B18" t="str">
        <v>O-70040</v>
      </c>
      <c r="C18">
        <v>46046</v>
      </c>
      <c r="D18" t="str">
        <v>Syd</v>
      </c>
      <c r="E18" t="str">
        <v>Anna Lind</v>
      </c>
      <c r="F18" t="str">
        <v>Elektronik</v>
      </c>
      <c r="G18">
        <v>102810</v>
      </c>
    </row>
    <row r="19" spans="2:7" x14ac:dyDescent="0.25">
      <c r="B19" t="str">
        <v>O-70003</v>
      </c>
      <c r="C19">
        <v>46057</v>
      </c>
      <c r="D19" t="str">
        <v>Syd</v>
      </c>
      <c r="E19" t="str">
        <v>Sara Berg</v>
      </c>
      <c r="F19" t="str">
        <v>Elektronik</v>
      </c>
      <c r="G19">
        <v>1519590</v>
      </c>
    </row>
    <row r="20" spans="2:7" x14ac:dyDescent="0.25">
      <c r="B20" t="str">
        <v>O-70042</v>
      </c>
      <c r="C20">
        <v>46057</v>
      </c>
      <c r="D20" t="str">
        <v>Syd</v>
      </c>
      <c r="E20" t="str">
        <v>Johan Ek</v>
      </c>
      <c r="F20" t="str">
        <v>Montage</v>
      </c>
      <c r="G20">
        <v>155540</v>
      </c>
    </row>
    <row r="21" spans="2:7" x14ac:dyDescent="0.25">
      <c r="B21" t="str">
        <v>O-70026</v>
      </c>
      <c r="C21">
        <v>46060</v>
      </c>
      <c r="D21" t="str">
        <v>Syd</v>
      </c>
      <c r="E21" t="str">
        <v>Johan Ek</v>
      </c>
      <c r="F21" t="str">
        <v>Hydraulik</v>
      </c>
      <c r="G21">
        <v>479350</v>
      </c>
    </row>
    <row r="22" spans="2:7" x14ac:dyDescent="0.25">
      <c r="B22" t="str">
        <v>O-70023</v>
      </c>
      <c r="C22">
        <v>46061</v>
      </c>
      <c r="D22" t="str">
        <v>Syd</v>
      </c>
      <c r="E22" t="str">
        <v>Johan Ek</v>
      </c>
      <c r="F22" t="str">
        <v>Elektronik</v>
      </c>
      <c r="G22">
        <v>419810</v>
      </c>
    </row>
    <row r="23" spans="2:7" x14ac:dyDescent="0.25">
      <c r="B23" t="str">
        <v>O-70009</v>
      </c>
      <c r="C23">
        <v>46064</v>
      </c>
      <c r="D23" t="str">
        <v>Syd</v>
      </c>
      <c r="E23" t="str">
        <v>Anna Lind</v>
      </c>
      <c r="F23" t="str">
        <v>Montage</v>
      </c>
      <c r="G23">
        <v>65640</v>
      </c>
    </row>
    <row r="24" spans="2:7" x14ac:dyDescent="0.25">
      <c r="B24" t="str">
        <v>O-70043</v>
      </c>
      <c r="C24">
        <v>46070</v>
      </c>
      <c r="D24" t="str">
        <v>Syd</v>
      </c>
      <c r="E24" t="str">
        <v>Sara Berg</v>
      </c>
      <c r="F24" t="str">
        <v>Hydraulik</v>
      </c>
      <c r="G24">
        <v>893030</v>
      </c>
    </row>
    <row r="25" spans="2:7" x14ac:dyDescent="0.25">
      <c r="B25" t="str">
        <v>O-70048</v>
      </c>
      <c r="C25">
        <v>46077</v>
      </c>
      <c r="D25" t="str">
        <v>Syd</v>
      </c>
      <c r="E25" t="str">
        <v>Anna Lind</v>
      </c>
      <c r="F25" t="str">
        <v>Elektronik</v>
      </c>
      <c r="G25">
        <v>598690</v>
      </c>
    </row>
    <row r="26" spans="2:7" x14ac:dyDescent="0.25">
      <c r="B26" t="str">
        <v>O-70017</v>
      </c>
      <c r="C26">
        <v>46080</v>
      </c>
      <c r="D26" t="str">
        <v>Syd</v>
      </c>
      <c r="E26" t="str">
        <v>Maria Falk</v>
      </c>
      <c r="F26" t="str">
        <v>Elektronik</v>
      </c>
      <c r="G26">
        <v>106710</v>
      </c>
    </row>
    <row r="27" spans="2:7" x14ac:dyDescent="0.25">
      <c r="B27" t="str">
        <v>O-70016</v>
      </c>
      <c r="C27">
        <v>46086</v>
      </c>
      <c r="D27" t="str">
        <v>Syd</v>
      </c>
      <c r="E27" t="str">
        <v>Anna Lind</v>
      </c>
      <c r="F27" t="str">
        <v>Montage</v>
      </c>
      <c r="G27">
        <v>16500</v>
      </c>
    </row>
    <row r="28" spans="2:7" x14ac:dyDescent="0.25">
      <c r="B28" t="str">
        <v>O-70047</v>
      </c>
      <c r="C28">
        <v>46088</v>
      </c>
      <c r="D28" t="str">
        <v>Syd</v>
      </c>
      <c r="E28" t="str">
        <v>Johan Ek</v>
      </c>
      <c r="F28" t="str">
        <v>Montage</v>
      </c>
      <c r="G28">
        <v>3370</v>
      </c>
    </row>
    <row r="29" spans="2:7" x14ac:dyDescent="0.25">
      <c r="B29" t="str">
        <v>O-70024</v>
      </c>
      <c r="C29">
        <v>46089</v>
      </c>
      <c r="D29" t="str">
        <v>Syd</v>
      </c>
      <c r="E29" t="str">
        <v>Johan Ek</v>
      </c>
      <c r="F29" t="str">
        <v>Elektronik</v>
      </c>
      <c r="G29">
        <v>204990</v>
      </c>
    </row>
    <row r="30" spans="2:7" x14ac:dyDescent="0.25">
      <c r="B30" t="str">
        <v>O-70022</v>
      </c>
      <c r="C30">
        <v>46093</v>
      </c>
      <c r="D30" t="str">
        <v>Syd</v>
      </c>
      <c r="E30" t="str">
        <v>Sara Berg</v>
      </c>
      <c r="F30" t="str">
        <v>Hydraulik</v>
      </c>
      <c r="G30">
        <v>496050</v>
      </c>
    </row>
    <row r="31" spans="2:7" x14ac:dyDescent="0.25">
      <c r="B31" t="str">
        <v>O-70054</v>
      </c>
      <c r="C31">
        <v>46095</v>
      </c>
      <c r="D31" t="str">
        <v>Syd</v>
      </c>
      <c r="E31" t="str">
        <v>Anna Lind</v>
      </c>
      <c r="F31" t="str">
        <v>Hydraulik</v>
      </c>
      <c r="G31">
        <v>921920</v>
      </c>
    </row>
    <row r="32" spans="2:7" x14ac:dyDescent="0.25">
      <c r="B32" t="str">
        <v>O-70050</v>
      </c>
      <c r="C32">
        <v>46101</v>
      </c>
      <c r="D32" t="str">
        <v>Syd</v>
      </c>
      <c r="E32" t="str">
        <v>Erik Holm</v>
      </c>
      <c r="F32" t="str">
        <v>Elektronik</v>
      </c>
      <c r="G32">
        <v>310750</v>
      </c>
    </row>
    <row r="33" spans="2:7" x14ac:dyDescent="0.25">
      <c r="B33" t="str">
        <v>O-70021</v>
      </c>
      <c r="C33">
        <v>46121</v>
      </c>
      <c r="D33" t="str">
        <v>Syd</v>
      </c>
      <c r="E33" t="str">
        <v>Sara Berg</v>
      </c>
      <c r="F33" t="str">
        <v>Hydraulik</v>
      </c>
      <c r="G33">
        <v>1254460</v>
      </c>
    </row>
    <row r="34" spans="2:7" x14ac:dyDescent="0.25">
      <c r="B34" t="str">
        <v>O-70011</v>
      </c>
      <c r="C34">
        <v>46130</v>
      </c>
      <c r="D34" t="str">
        <v>Syd</v>
      </c>
      <c r="E34" t="str">
        <v>Johan Ek</v>
      </c>
      <c r="F34" t="str">
        <v>Hydraulik</v>
      </c>
      <c r="G34">
        <v>884510</v>
      </c>
    </row>
    <row r="35" spans="2:7" x14ac:dyDescent="0.25">
      <c r="B35" t="str">
        <v>O-70034</v>
      </c>
      <c r="C35">
        <v>46132</v>
      </c>
      <c r="D35" t="str">
        <v>Syd</v>
      </c>
      <c r="E35" t="str">
        <v>Anna Lind</v>
      </c>
      <c r="F35" t="str">
        <v>Montage</v>
      </c>
      <c r="G35">
        <v>26530</v>
      </c>
    </row>
    <row r="36" spans="2:7" x14ac:dyDescent="0.25">
      <c r="B36" t="str">
        <v>O-70070</v>
      </c>
      <c r="C36">
        <v>46132</v>
      </c>
      <c r="D36" t="str">
        <v>Syd</v>
      </c>
      <c r="E36" t="str">
        <v>Erik Holm</v>
      </c>
      <c r="F36" t="str">
        <v>Reservdelar</v>
      </c>
      <c r="G36">
        <v>68530</v>
      </c>
    </row>
    <row r="37" spans="2:7" x14ac:dyDescent="0.25">
      <c r="B37" t="str">
        <v>O-70029</v>
      </c>
      <c r="C37">
        <v>46163</v>
      </c>
      <c r="D37" t="str">
        <v>Syd</v>
      </c>
      <c r="E37" t="str">
        <v>Maria Falk</v>
      </c>
      <c r="F37" t="str">
        <v>Montage</v>
      </c>
      <c r="G37">
        <v>44270</v>
      </c>
    </row>
    <row r="38" spans="2:7" x14ac:dyDescent="0.25">
      <c r="B38" t="str">
        <v>O-70006</v>
      </c>
      <c r="C38">
        <v>46164</v>
      </c>
      <c r="D38" t="str">
        <v>Syd</v>
      </c>
      <c r="E38" t="str">
        <v>Anna Lind</v>
      </c>
      <c r="F38" t="str">
        <v>Montage</v>
      </c>
      <c r="G38">
        <v>33710</v>
      </c>
    </row>
    <row r="39" spans="2:7" x14ac:dyDescent="0.25">
      <c r="B39" t="str">
        <v>O-70018</v>
      </c>
      <c r="C39">
        <v>46165</v>
      </c>
      <c r="D39" t="str">
        <v>Syd</v>
      </c>
      <c r="E39" t="str">
        <v>Maria Falk</v>
      </c>
      <c r="F39" t="str">
        <v>Hydraulik</v>
      </c>
      <c r="G39">
        <v>559560</v>
      </c>
    </row>
    <row r="40" spans="2:7" x14ac:dyDescent="0.25">
      <c r="B40" t="str">
        <v>O-70004</v>
      </c>
      <c r="C40">
        <v>46197</v>
      </c>
      <c r="D40" t="str">
        <v>Syd</v>
      </c>
      <c r="E40" t="str">
        <v>Sara Berg</v>
      </c>
      <c r="F40" t="str">
        <v>Montage</v>
      </c>
      <c r="G40">
        <v>15610</v>
      </c>
    </row>
    <row r="41" spans="2:7" x14ac:dyDescent="0.25">
      <c r="B41" t="str">
        <v>O-70066</v>
      </c>
      <c r="C41">
        <v>46198</v>
      </c>
      <c r="D41" t="str">
        <v>Syd</v>
      </c>
      <c r="E41" t="str">
        <v>Johan Ek</v>
      </c>
      <c r="F41" t="str">
        <v>Montage</v>
      </c>
      <c r="G41">
        <v>14060</v>
      </c>
    </row>
    <row r="45" spans="2:7" x14ac:dyDescent="0.25">
      <c r="B45" s="8" t="s">
        <v>95</v>
      </c>
    </row>
    <row r="46" spans="2:7" x14ac:dyDescent="0.25">
      <c r="B46" s="13" t="s">
        <v>1</v>
      </c>
      <c r="C46" s="13" t="s">
        <v>2</v>
      </c>
      <c r="D46" s="13" t="s">
        <v>3</v>
      </c>
      <c r="E46" s="13" t="s">
        <v>4</v>
      </c>
      <c r="F46" s="13" t="s">
        <v>5</v>
      </c>
      <c r="G46" s="13" t="s">
        <v>6</v>
      </c>
    </row>
    <row r="47" spans="2:7" x14ac:dyDescent="0.25">
      <c r="B47" s="11" t="str" cm="1">
        <f t="array" ref="B47:G73">_xlfn._xlws.SORT(_xlfn._xlws.FILTER(tblSales[], tblSales[Region] = "Syd"), 6, -1)</f>
        <v>O-70003</v>
      </c>
      <c r="C47">
        <v>46057</v>
      </c>
      <c r="D47" t="str">
        <v>Syd</v>
      </c>
      <c r="E47" t="str">
        <v>Sara Berg</v>
      </c>
      <c r="F47" t="str">
        <v>Elektronik</v>
      </c>
      <c r="G47">
        <v>1519590</v>
      </c>
    </row>
    <row r="48" spans="2:7" x14ac:dyDescent="0.25">
      <c r="B48" s="12" t="str">
        <v>O-70021</v>
      </c>
      <c r="C48">
        <v>46121</v>
      </c>
      <c r="D48" t="str">
        <v>Syd</v>
      </c>
      <c r="E48" t="str">
        <v>Sara Berg</v>
      </c>
      <c r="F48" t="str">
        <v>Hydraulik</v>
      </c>
      <c r="G48">
        <v>1254460</v>
      </c>
    </row>
    <row r="49" spans="2:7" x14ac:dyDescent="0.25">
      <c r="B49" t="str">
        <v>O-70054</v>
      </c>
      <c r="C49">
        <v>46095</v>
      </c>
      <c r="D49" t="str">
        <v>Syd</v>
      </c>
      <c r="E49" t="str">
        <v>Anna Lind</v>
      </c>
      <c r="F49" t="str">
        <v>Hydraulik</v>
      </c>
      <c r="G49">
        <v>921920</v>
      </c>
    </row>
    <row r="50" spans="2:7" x14ac:dyDescent="0.25">
      <c r="B50" t="str">
        <v>O-70043</v>
      </c>
      <c r="C50">
        <v>46070</v>
      </c>
      <c r="D50" t="str">
        <v>Syd</v>
      </c>
      <c r="E50" t="str">
        <v>Sara Berg</v>
      </c>
      <c r="F50" t="str">
        <v>Hydraulik</v>
      </c>
      <c r="G50">
        <v>893030</v>
      </c>
    </row>
    <row r="51" spans="2:7" x14ac:dyDescent="0.25">
      <c r="B51" t="str">
        <v>O-70011</v>
      </c>
      <c r="C51">
        <v>46130</v>
      </c>
      <c r="D51" t="str">
        <v>Syd</v>
      </c>
      <c r="E51" t="str">
        <v>Johan Ek</v>
      </c>
      <c r="F51" t="str">
        <v>Hydraulik</v>
      </c>
      <c r="G51">
        <v>884510</v>
      </c>
    </row>
    <row r="52" spans="2:7" x14ac:dyDescent="0.25">
      <c r="B52" t="str">
        <v>O-70048</v>
      </c>
      <c r="C52">
        <v>46077</v>
      </c>
      <c r="D52" t="str">
        <v>Syd</v>
      </c>
      <c r="E52" t="str">
        <v>Anna Lind</v>
      </c>
      <c r="F52" t="str">
        <v>Elektronik</v>
      </c>
      <c r="G52">
        <v>598690</v>
      </c>
    </row>
    <row r="53" spans="2:7" x14ac:dyDescent="0.25">
      <c r="B53" t="str">
        <v>O-70018</v>
      </c>
      <c r="C53">
        <v>46165</v>
      </c>
      <c r="D53" t="str">
        <v>Syd</v>
      </c>
      <c r="E53" t="str">
        <v>Maria Falk</v>
      </c>
      <c r="F53" t="str">
        <v>Hydraulik</v>
      </c>
      <c r="G53">
        <v>559560</v>
      </c>
    </row>
    <row r="54" spans="2:7" x14ac:dyDescent="0.25">
      <c r="B54" t="str">
        <v>O-70022</v>
      </c>
      <c r="C54">
        <v>46093</v>
      </c>
      <c r="D54" t="str">
        <v>Syd</v>
      </c>
      <c r="E54" t="str">
        <v>Sara Berg</v>
      </c>
      <c r="F54" t="str">
        <v>Hydraulik</v>
      </c>
      <c r="G54">
        <v>496050</v>
      </c>
    </row>
    <row r="55" spans="2:7" x14ac:dyDescent="0.25">
      <c r="B55" t="str">
        <v>O-70026</v>
      </c>
      <c r="C55">
        <v>46060</v>
      </c>
      <c r="D55" t="str">
        <v>Syd</v>
      </c>
      <c r="E55" t="str">
        <v>Johan Ek</v>
      </c>
      <c r="F55" t="str">
        <v>Hydraulik</v>
      </c>
      <c r="G55">
        <v>479350</v>
      </c>
    </row>
    <row r="56" spans="2:7" x14ac:dyDescent="0.25">
      <c r="B56" t="str">
        <v>O-70023</v>
      </c>
      <c r="C56">
        <v>46061</v>
      </c>
      <c r="D56" t="str">
        <v>Syd</v>
      </c>
      <c r="E56" t="str">
        <v>Johan Ek</v>
      </c>
      <c r="F56" t="str">
        <v>Elektronik</v>
      </c>
      <c r="G56">
        <v>419810</v>
      </c>
    </row>
    <row r="57" spans="2:7" x14ac:dyDescent="0.25">
      <c r="B57" t="str">
        <v>O-70038</v>
      </c>
      <c r="C57">
        <v>46026</v>
      </c>
      <c r="D57" t="str">
        <v>Syd</v>
      </c>
      <c r="E57" t="str">
        <v>Maria Falk</v>
      </c>
      <c r="F57" t="str">
        <v>Elektronik</v>
      </c>
      <c r="G57">
        <v>394150</v>
      </c>
    </row>
    <row r="58" spans="2:7" x14ac:dyDescent="0.25">
      <c r="B58" t="str">
        <v>O-70050</v>
      </c>
      <c r="C58">
        <v>46101</v>
      </c>
      <c r="D58" t="str">
        <v>Syd</v>
      </c>
      <c r="E58" t="str">
        <v>Erik Holm</v>
      </c>
      <c r="F58" t="str">
        <v>Elektronik</v>
      </c>
      <c r="G58">
        <v>310750</v>
      </c>
    </row>
    <row r="59" spans="2:7" x14ac:dyDescent="0.25">
      <c r="B59" t="str">
        <v>O-70024</v>
      </c>
      <c r="C59">
        <v>46089</v>
      </c>
      <c r="D59" t="str">
        <v>Syd</v>
      </c>
      <c r="E59" t="str">
        <v>Johan Ek</v>
      </c>
      <c r="F59" t="str">
        <v>Elektronik</v>
      </c>
      <c r="G59">
        <v>204990</v>
      </c>
    </row>
    <row r="60" spans="2:7" x14ac:dyDescent="0.25">
      <c r="B60" t="str">
        <v>O-70042</v>
      </c>
      <c r="C60">
        <v>46057</v>
      </c>
      <c r="D60" t="str">
        <v>Syd</v>
      </c>
      <c r="E60" t="str">
        <v>Johan Ek</v>
      </c>
      <c r="F60" t="str">
        <v>Montage</v>
      </c>
      <c r="G60">
        <v>155540</v>
      </c>
    </row>
    <row r="61" spans="2:7" x14ac:dyDescent="0.25">
      <c r="B61" t="str">
        <v>O-70067</v>
      </c>
      <c r="C61">
        <v>46030</v>
      </c>
      <c r="D61" t="str">
        <v>Syd</v>
      </c>
      <c r="E61" t="str">
        <v>Sara Berg</v>
      </c>
      <c r="F61" t="str">
        <v>Montage</v>
      </c>
      <c r="G61">
        <v>122460</v>
      </c>
    </row>
    <row r="62" spans="2:7" x14ac:dyDescent="0.25">
      <c r="B62" t="str">
        <v>O-70017</v>
      </c>
      <c r="C62">
        <v>46080</v>
      </c>
      <c r="D62" t="str">
        <v>Syd</v>
      </c>
      <c r="E62" t="str">
        <v>Maria Falk</v>
      </c>
      <c r="F62" t="str">
        <v>Elektronik</v>
      </c>
      <c r="G62">
        <v>106710</v>
      </c>
    </row>
    <row r="63" spans="2:7" x14ac:dyDescent="0.25">
      <c r="B63" t="str">
        <v>O-70040</v>
      </c>
      <c r="C63">
        <v>46046</v>
      </c>
      <c r="D63" t="str">
        <v>Syd</v>
      </c>
      <c r="E63" t="str">
        <v>Anna Lind</v>
      </c>
      <c r="F63" t="str">
        <v>Elektronik</v>
      </c>
      <c r="G63">
        <v>102810</v>
      </c>
    </row>
    <row r="64" spans="2:7" x14ac:dyDescent="0.25">
      <c r="B64" t="str">
        <v>O-70070</v>
      </c>
      <c r="C64">
        <v>46132</v>
      </c>
      <c r="D64" t="str">
        <v>Syd</v>
      </c>
      <c r="E64" t="str">
        <v>Erik Holm</v>
      </c>
      <c r="F64" t="str">
        <v>Reservdelar</v>
      </c>
      <c r="G64">
        <v>68530</v>
      </c>
    </row>
    <row r="65" spans="2:7" x14ac:dyDescent="0.25">
      <c r="B65" t="str">
        <v>O-70009</v>
      </c>
      <c r="C65">
        <v>46064</v>
      </c>
      <c r="D65" t="str">
        <v>Syd</v>
      </c>
      <c r="E65" t="str">
        <v>Anna Lind</v>
      </c>
      <c r="F65" t="str">
        <v>Montage</v>
      </c>
      <c r="G65">
        <v>65640</v>
      </c>
    </row>
    <row r="66" spans="2:7" x14ac:dyDescent="0.25">
      <c r="B66" t="str">
        <v>O-70061</v>
      </c>
      <c r="C66">
        <v>46026</v>
      </c>
      <c r="D66" t="str">
        <v>Syd</v>
      </c>
      <c r="E66" t="str">
        <v>Maria Falk</v>
      </c>
      <c r="F66" t="str">
        <v>Reservdelar</v>
      </c>
      <c r="G66">
        <v>52550</v>
      </c>
    </row>
    <row r="67" spans="2:7" x14ac:dyDescent="0.25">
      <c r="B67" t="str">
        <v>O-70029</v>
      </c>
      <c r="C67">
        <v>46163</v>
      </c>
      <c r="D67" t="str">
        <v>Syd</v>
      </c>
      <c r="E67" t="str">
        <v>Maria Falk</v>
      </c>
      <c r="F67" t="str">
        <v>Montage</v>
      </c>
      <c r="G67">
        <v>44270</v>
      </c>
    </row>
    <row r="68" spans="2:7" x14ac:dyDescent="0.25">
      <c r="B68" t="str">
        <v>O-70006</v>
      </c>
      <c r="C68">
        <v>46164</v>
      </c>
      <c r="D68" t="str">
        <v>Syd</v>
      </c>
      <c r="E68" t="str">
        <v>Anna Lind</v>
      </c>
      <c r="F68" t="str">
        <v>Montage</v>
      </c>
      <c r="G68">
        <v>33710</v>
      </c>
    </row>
    <row r="69" spans="2:7" x14ac:dyDescent="0.25">
      <c r="B69" t="str">
        <v>O-70034</v>
      </c>
      <c r="C69">
        <v>46132</v>
      </c>
      <c r="D69" t="str">
        <v>Syd</v>
      </c>
      <c r="E69" t="str">
        <v>Anna Lind</v>
      </c>
      <c r="F69" t="str">
        <v>Montage</v>
      </c>
      <c r="G69">
        <v>26530</v>
      </c>
    </row>
    <row r="70" spans="2:7" x14ac:dyDescent="0.25">
      <c r="B70" t="str">
        <v>O-70016</v>
      </c>
      <c r="C70">
        <v>46086</v>
      </c>
      <c r="D70" t="str">
        <v>Syd</v>
      </c>
      <c r="E70" t="str">
        <v>Anna Lind</v>
      </c>
      <c r="F70" t="str">
        <v>Montage</v>
      </c>
      <c r="G70">
        <v>16500</v>
      </c>
    </row>
    <row r="71" spans="2:7" x14ac:dyDescent="0.25">
      <c r="B71" t="str">
        <v>O-70004</v>
      </c>
      <c r="C71">
        <v>46197</v>
      </c>
      <c r="D71" t="str">
        <v>Syd</v>
      </c>
      <c r="E71" t="str">
        <v>Sara Berg</v>
      </c>
      <c r="F71" t="str">
        <v>Montage</v>
      </c>
      <c r="G71">
        <v>15610</v>
      </c>
    </row>
    <row r="72" spans="2:7" x14ac:dyDescent="0.25">
      <c r="B72" t="str">
        <v>O-70066</v>
      </c>
      <c r="C72">
        <v>46198</v>
      </c>
      <c r="D72" t="str">
        <v>Syd</v>
      </c>
      <c r="E72" t="str">
        <v>Johan Ek</v>
      </c>
      <c r="F72" t="str">
        <v>Montage</v>
      </c>
      <c r="G72">
        <v>14060</v>
      </c>
    </row>
    <row r="73" spans="2:7" x14ac:dyDescent="0.25">
      <c r="B73" t="str">
        <v>O-70047</v>
      </c>
      <c r="C73">
        <v>46088</v>
      </c>
      <c r="D73" t="str">
        <v>Syd</v>
      </c>
      <c r="E73" t="str">
        <v>Johan Ek</v>
      </c>
      <c r="F73" t="str">
        <v>Montage</v>
      </c>
      <c r="G73">
        <v>3370</v>
      </c>
    </row>
    <row r="77" spans="2:7" x14ac:dyDescent="0.25">
      <c r="B77" s="8" t="s">
        <v>94</v>
      </c>
    </row>
    <row r="78" spans="2:7" x14ac:dyDescent="0.25">
      <c r="B78" s="13" t="s">
        <v>1</v>
      </c>
      <c r="C78" s="13" t="s">
        <v>2</v>
      </c>
      <c r="D78" s="13" t="s">
        <v>3</v>
      </c>
      <c r="E78" s="13" t="s">
        <v>4</v>
      </c>
      <c r="F78" s="13" t="s">
        <v>5</v>
      </c>
      <c r="G78" s="13" t="s">
        <v>6</v>
      </c>
    </row>
    <row r="79" spans="2:7" x14ac:dyDescent="0.25">
      <c r="B79" s="11" t="str" cm="1">
        <f t="array" ref="B79:G88">_xlfn.TAKE(_xlfn._xlws.SORT(tblSales[], 6, -1), 10)</f>
        <v>O-70003</v>
      </c>
      <c r="C79">
        <v>46057</v>
      </c>
      <c r="D79" t="str">
        <v>Syd</v>
      </c>
      <c r="E79" t="str">
        <v>Sara Berg</v>
      </c>
      <c r="F79" t="str">
        <v>Elektronik</v>
      </c>
      <c r="G79">
        <v>1519590</v>
      </c>
    </row>
    <row r="80" spans="2:7" x14ac:dyDescent="0.25">
      <c r="B80" s="12" t="str">
        <v>O-70057</v>
      </c>
      <c r="C80">
        <v>46082</v>
      </c>
      <c r="D80" t="str">
        <v>Nord</v>
      </c>
      <c r="E80" t="str">
        <v>Anna Lind</v>
      </c>
      <c r="F80" t="str">
        <v>Elektronik</v>
      </c>
      <c r="G80">
        <v>1446380</v>
      </c>
    </row>
    <row r="81" spans="2:7" x14ac:dyDescent="0.25">
      <c r="B81" t="str">
        <v>O-70063</v>
      </c>
      <c r="C81">
        <v>46057</v>
      </c>
      <c r="D81" t="str">
        <v>Öst</v>
      </c>
      <c r="E81" t="str">
        <v>Anna Lind</v>
      </c>
      <c r="F81" t="str">
        <v>Hydraulik</v>
      </c>
      <c r="G81">
        <v>1403170</v>
      </c>
    </row>
    <row r="82" spans="2:7" x14ac:dyDescent="0.25">
      <c r="B82" t="str">
        <v>O-70025</v>
      </c>
      <c r="C82">
        <v>46168</v>
      </c>
      <c r="D82" t="str">
        <v>Väst</v>
      </c>
      <c r="E82" t="str">
        <v>Anna Lind</v>
      </c>
      <c r="F82" t="str">
        <v>Hydraulik</v>
      </c>
      <c r="G82">
        <v>1341480</v>
      </c>
    </row>
    <row r="83" spans="2:7" x14ac:dyDescent="0.25">
      <c r="B83" t="str">
        <v>O-70021</v>
      </c>
      <c r="C83">
        <v>46121</v>
      </c>
      <c r="D83" t="str">
        <v>Syd</v>
      </c>
      <c r="E83" t="str">
        <v>Sara Berg</v>
      </c>
      <c r="F83" t="str">
        <v>Hydraulik</v>
      </c>
      <c r="G83">
        <v>1254460</v>
      </c>
    </row>
    <row r="84" spans="2:7" x14ac:dyDescent="0.25">
      <c r="B84" t="str">
        <v>O-70059</v>
      </c>
      <c r="C84">
        <v>46069</v>
      </c>
      <c r="D84" t="str">
        <v>Öst</v>
      </c>
      <c r="E84" t="str">
        <v>Sara Berg</v>
      </c>
      <c r="F84" t="str">
        <v>Elektronik</v>
      </c>
      <c r="G84">
        <v>1111320</v>
      </c>
    </row>
    <row r="85" spans="2:7" x14ac:dyDescent="0.25">
      <c r="B85" t="str">
        <v>O-70031</v>
      </c>
      <c r="C85">
        <v>46128</v>
      </c>
      <c r="D85" t="str">
        <v>Nord</v>
      </c>
      <c r="E85" t="str">
        <v>Maria Falk</v>
      </c>
      <c r="F85" t="str">
        <v>Hydraulik</v>
      </c>
      <c r="G85">
        <v>1033210</v>
      </c>
    </row>
    <row r="86" spans="2:7" x14ac:dyDescent="0.25">
      <c r="B86" t="str">
        <v>O-70015</v>
      </c>
      <c r="C86">
        <v>46094</v>
      </c>
      <c r="D86" t="str">
        <v>Väst</v>
      </c>
      <c r="E86" t="str">
        <v>Anna Lind</v>
      </c>
      <c r="F86" t="str">
        <v>Hydraulik</v>
      </c>
      <c r="G86">
        <v>939450</v>
      </c>
    </row>
    <row r="87" spans="2:7" x14ac:dyDescent="0.25">
      <c r="B87" t="str">
        <v>O-70054</v>
      </c>
      <c r="C87">
        <v>46095</v>
      </c>
      <c r="D87" t="str">
        <v>Syd</v>
      </c>
      <c r="E87" t="str">
        <v>Anna Lind</v>
      </c>
      <c r="F87" t="str">
        <v>Hydraulik</v>
      </c>
      <c r="G87">
        <v>921920</v>
      </c>
    </row>
    <row r="88" spans="2:7" x14ac:dyDescent="0.25">
      <c r="B88" t="str">
        <v>O-70043</v>
      </c>
      <c r="C88">
        <v>46070</v>
      </c>
      <c r="D88" t="str">
        <v>Syd</v>
      </c>
      <c r="E88" t="str">
        <v>Sara Berg</v>
      </c>
      <c r="F88" t="str">
        <v>Hydraulik</v>
      </c>
      <c r="G88">
        <v>893030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Försäljning</vt:lpstr>
      <vt:lpstr>Analys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Karlsson</cp:lastModifiedBy>
  <dcterms:created xsi:type="dcterms:W3CDTF">2026-06-14T08:45:38Z</dcterms:created>
  <dcterms:modified xsi:type="dcterms:W3CDTF">2026-06-14T09:08:38Z</dcterms:modified>
</cp:coreProperties>
</file>